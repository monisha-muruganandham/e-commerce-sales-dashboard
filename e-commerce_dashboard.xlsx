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COT\Documents\EXCEL PROJECTS\"/>
    </mc:Choice>
  </mc:AlternateContent>
  <xr:revisionPtr revIDLastSave="0" documentId="13_ncr:1_{A57B44F9-5FD3-46C7-B101-3769545E8F0F}" xr6:coauthVersionLast="47" xr6:coauthVersionMax="47" xr10:uidLastSave="{00000000-0000-0000-0000-000000000000}"/>
  <workbookProtection lockStructure="1"/>
  <bookViews>
    <workbookView xWindow="-120" yWindow="-120" windowWidth="20730" windowHeight="11160" xr2:uid="{1955D909-1968-4FBB-BE6E-AF478D72E354}"/>
  </bookViews>
  <sheets>
    <sheet name="Sheet2" sheetId="2" r:id="rId1"/>
    <sheet name="Sheet1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<sst xmlns="http://schemas.openxmlformats.org/spreadsheetml/2006/main" count="92" uniqueCount="47">
  <si>
    <t>Order_ID</t>
  </si>
  <si>
    <t>Order_Date</t>
  </si>
  <si>
    <t>Customer_Name</t>
  </si>
  <si>
    <t>Category</t>
  </si>
  <si>
    <t>Product</t>
  </si>
  <si>
    <t>City</t>
  </si>
  <si>
    <t>Quantity</t>
  </si>
  <si>
    <t>Price</t>
  </si>
  <si>
    <t>Discount (%)</t>
  </si>
  <si>
    <t>Payment_Method</t>
  </si>
  <si>
    <t>Monisha</t>
  </si>
  <si>
    <t>Electronics</t>
  </si>
  <si>
    <t>Headphones</t>
  </si>
  <si>
    <t>Chennai</t>
  </si>
  <si>
    <t>UPI</t>
  </si>
  <si>
    <t>Ravi</t>
  </si>
  <si>
    <t>Clothing</t>
  </si>
  <si>
    <t>T-Shirt</t>
  </si>
  <si>
    <t>Mumbai</t>
  </si>
  <si>
    <t>Cash</t>
  </si>
  <si>
    <t>Sita</t>
  </si>
  <si>
    <t>Mouse</t>
  </si>
  <si>
    <t>Delhi</t>
  </si>
  <si>
    <t>Card</t>
  </si>
  <si>
    <t>Arjun</t>
  </si>
  <si>
    <t>Home</t>
  </si>
  <si>
    <t>Mixer</t>
  </si>
  <si>
    <t>Kavya</t>
  </si>
  <si>
    <t>Jeans</t>
  </si>
  <si>
    <t>Rahul</t>
  </si>
  <si>
    <t>Laptop</t>
  </si>
  <si>
    <t>Priya</t>
  </si>
  <si>
    <t>Sofa</t>
  </si>
  <si>
    <t>Kiran</t>
  </si>
  <si>
    <t>Keyboard</t>
  </si>
  <si>
    <t>Row Labels</t>
  </si>
  <si>
    <t>Grand Total</t>
  </si>
  <si>
    <t>E-COMMERCE SALES ANALYSIS DASHBOARD</t>
  </si>
  <si>
    <t>KPI</t>
  </si>
  <si>
    <t>VALUE</t>
  </si>
  <si>
    <t>Top Category</t>
  </si>
  <si>
    <t>Top Product</t>
  </si>
  <si>
    <t>Top City</t>
  </si>
  <si>
    <t>Total Revenue</t>
  </si>
  <si>
    <t>Top Payment Method</t>
  </si>
  <si>
    <t xml:space="preserve">Final_Price </t>
  </si>
  <si>
    <t xml:space="preserve">Sum of Final_Price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</si>
</sst>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5025</c:v>
                </c:pt>
                <c:pt idx="1">
                  <c:v>33400</c:v>
                </c:pt>
                <c:pt idx="2">
                  <c:v>26300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B-4314-A88B-83F3DA247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863824"/>
        <c:axId val="344865584"/>
      </c:barChart>
      <c:catAx>
        <c:axId val="3448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65584"/>
        <c:crosses val="autoZero"/>
        <c:auto val="1"/>
        <c:lblAlgn val="ctr"/>
        <c:lblOffset val="100"/>
        <c:noMultiLvlLbl val="0"/>
      </c:catAx>
      <c:valAx>
        <c:axId val="3448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6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Sheet2!$A$11:$A$14</c:f>
              <c:strCache>
                <c:ptCount val="3"/>
                <c:pt idx="0">
                  <c:v>Chennai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Sheet2!$B$11:$B$14</c:f>
              <c:numCache>
                <c:formatCode>General</c:formatCode>
                <c:ptCount val="3"/>
                <c:pt idx="0">
                  <c:v>29000</c:v>
                </c:pt>
                <c:pt idx="1">
                  <c:v>6800</c:v>
                </c:pt>
                <c:pt idx="2">
                  <c:v>28925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A-434B-85AE-CB83E3522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580624"/>
        <c:axId val="498581680"/>
      </c:barChart>
      <c:catAx>
        <c:axId val="49858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81680"/>
        <c:crosses val="autoZero"/>
        <c:auto val="1"/>
        <c:lblAlgn val="ctr"/>
        <c:lblOffset val="100"/>
        <c:noMultiLvlLbl val="0"/>
      </c:catAx>
      <c:valAx>
        <c:axId val="4985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[e-commerce_dashboard.xlsx]Sheet2!PivotTable3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</a:t>
            </a:r>
            <a:r>
              <a:rPr lang="en-US"/>
              <a:t>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1-4210-883C-322DF76241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1-4210-883C-322DF76241C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1-4210-883C-322DF76241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31-4210-883C-322DF76241C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31-4210-883C-322DF76241C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31-4210-883C-322DF76241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31-4210-883C-322DF76241C7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31-4210-883C-322DF76241C7}"/>
              </c:ext>
            </c:extLst>
          </c:dPt>
          <c:cat>
            <c:strRef>
              <c:f>Sheet2!$A$17:$A$25</c:f>
              <c:strCache>
                <c:ptCount val="8"/>
                <c:pt idx="0">
                  <c:v>Headphones</c:v>
                </c:pt>
                <c:pt idx="1">
                  <c:v>Jeans</c:v>
                </c:pt>
                <c:pt idx="2">
                  <c:v>Keyboard</c:v>
                </c:pt>
                <c:pt idx="3">
                  <c:v>Laptop</c:v>
                </c:pt>
                <c:pt idx="4">
                  <c:v>Mixer</c:v>
                </c:pt>
                <c:pt idx="5">
                  <c:v>Mouse</c:v>
                </c:pt>
                <c:pt idx="6">
                  <c:v>Sofa</c:v>
                </c:pt>
                <c:pt idx="7">
                  <c:v>T-Shirt</c:v>
                </c:pt>
              </c:strCache>
            </c:strRef>
          </c:cat>
          <c:val>
            <c:numRef>
              <c:f>Sheet2!$B$17:$B$25</c:f>
              <c:numCache>
                <c:formatCode>General</c:formatCode>
                <c:ptCount val="8"/>
                <c:pt idx="0">
                  <c:v>2700</c:v>
                </c:pt>
                <c:pt idx="1">
                  <c:v>3600</c:v>
                </c:pt>
                <c:pt idx="2">
                  <c:v>2400</c:v>
                </c:pt>
                <c:pt idx="3">
                  <c:v>27500</c:v>
                </c:pt>
                <c:pt idx="4">
                  <c:v>2550</c:v>
                </c:pt>
                <c:pt idx="5">
                  <c:v>800</c:v>
                </c:pt>
                <c:pt idx="6">
                  <c:v>23750</c:v>
                </c:pt>
                <c:pt idx="7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CB-40B0-AB5D-C06931BE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[e-commerce_dashboard.xlsx]Sheet2!PivotTable5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Sheet2!$A$28:$A$31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Sheet2!$B$28:$B$31</c:f>
              <c:numCache>
                <c:formatCode>General</c:formatCode>
                <c:ptCount val="3"/>
                <c:pt idx="0">
                  <c:v>4400</c:v>
                </c:pt>
                <c:pt idx="1">
                  <c:v>25175</c:v>
                </c:pt>
                <c:pt idx="2">
                  <c:v>35150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2F-4137-84FB-A8C5F058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6190680"/>
        <c:axId val="266190328"/>
      </c:barChart>
      <c:valAx>
        <c:axId val="26619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90680"/>
        <c:crosses val="autoZero"/>
        <c:crossBetween val="between"/>
      </c:valAx>
      <c:catAx>
        <c:axId val="266190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90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533402</xdr:colOff>
      <xdr:row>8</xdr:row>
      <xdr:rowOff>142874</xdr:rowOff>
    </xdr:from>
    <xdr:to>
      <xdr:col>12</xdr:col>
      <xdr:colOff>333376</xdr:colOff>
      <xdr:row>19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D00BE-2B4D-C82D-C00D-B450F3423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361951</xdr:colOff>
      <xdr:row>8</xdr:row>
      <xdr:rowOff>142875</xdr:rowOff>
    </xdr:from>
    <xdr:to>
      <xdr:col>6</xdr:col>
      <xdr:colOff>190501</xdr:colOff>
      <xdr:row>19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CF776-968B-5C12-384E-A0B6736CA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542924</xdr:colOff>
      <xdr:row>20</xdr:row>
      <xdr:rowOff>152399</xdr:rowOff>
    </xdr:from>
    <xdr:to>
      <xdr:col>12</xdr:col>
      <xdr:colOff>381000</xdr:colOff>
      <xdr:row>32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987D9F-DFBD-E60E-12A2-7DF8489B9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361949</xdr:colOff>
      <xdr:row>20</xdr:row>
      <xdr:rowOff>142875</xdr:rowOff>
    </xdr:from>
    <xdr:to>
      <xdr:col>6</xdr:col>
      <xdr:colOff>190501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E8B2BC-C575-58E0-9DA7-74B6EF198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390526</xdr:colOff>
      <xdr:row>34</xdr:row>
      <xdr:rowOff>180975</xdr:rowOff>
    </xdr:from>
    <xdr:to>
      <xdr:col>9</xdr:col>
      <xdr:colOff>95250</xdr:colOff>
      <xdr:row>39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A53B9B2-1C65-17E6-7589-C9F4E1BB344E}"/>
            </a:ext>
          </a:extLst>
        </xdr:cNvPr>
        <xdr:cNvSpPr/>
      </xdr:nvSpPr>
      <xdr:spPr>
        <a:xfrm>
          <a:off x="4219576" y="6896100"/>
          <a:ext cx="3686174" cy="904875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Electronics generates the highest revenue.</a:t>
          </a:r>
        </a:p>
        <a:p>
          <a:pPr algn="l"/>
          <a:r>
            <a:rPr lang="en-US" sz="1100"/>
            <a:t>Chennai</a:t>
          </a:r>
          <a:r>
            <a:rPr lang="en-US" sz="1100" baseline="0"/>
            <a:t> is the top city by revenue.</a:t>
          </a:r>
        </a:p>
        <a:p>
          <a:pPr algn="l"/>
          <a:r>
            <a:rPr lang="en-US" sz="1100" baseline="0"/>
            <a:t>UPI is the most preferred payment method among the customers.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19.053625462962" createdVersion="8" refreshedVersion="8" minRefreshableVersion="3" recordCount="8" xr:uid="{DBFF5F3A-EC41-4442-B659-F3B75D3E0E69}">
  <cacheSource type="worksheet">
    <worksheetSource ref="A1:K9" sheet="Sheet1"/>
  </cacheSource>
  <cacheFields count="11">
    <cacheField name="Order_ID" numFmtId="0">
      <sharedItems containsSemiMixedTypes="0" containsString="0" containsNumber="1" containsInteger="1" minValue="3001" maxValue="3008"/>
    </cacheField>
    <cacheField name="Order_Date" numFmtId="14">
      <sharedItems containsSemiMixedTypes="0" containsNonDate="0" containsDate="1" containsString="0" minDate="2024-03-01T00:00:00" maxDate="2024-03-07T00:00:00"/>
    </cacheField>
    <cacheField name="Customer_Name" numFmtId="0">
      <sharedItems/>
    </cacheField>
    <cacheField name="Category" numFmtId="0">
      <sharedItems count="3">
        <s v="Electronics"/>
        <s v="Clothing"/>
        <s v="Home"/>
      </sharedItems>
    </cacheField>
    <cacheField name="Product" numFmtId="0">
      <sharedItems count="8">
        <s v="Headphones"/>
        <s v="T-Shirt"/>
        <s v="Mouse"/>
        <s v="Mixer"/>
        <s v="Jeans"/>
        <s v="Laptop"/>
        <s v="Sofa"/>
        <s v="Keyboard"/>
      </sharedItems>
    </cacheField>
    <cacheField name="City" numFmtId="0">
      <sharedItems count="3">
        <s v="Chennai"/>
        <s v="Mumbai"/>
        <s v="Delhi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500" maxValue="55000"/>
    </cacheField>
    <cacheField name="Discount (%)" numFmtId="0">
      <sharedItems containsSemiMixedTypes="0" containsString="0" containsNumber="1" containsInteger="1" minValue="0" maxValue="50"/>
    </cacheField>
    <cacheField name="Payment_Method" numFmtId="0">
      <sharedItems count="3">
        <s v="UPI"/>
        <s v="Cash"/>
        <s v="Card"/>
      </sharedItems>
    </cacheField>
    <cacheField name="Final_Price " numFmtId="0">
      <sharedItems containsSemiMixedTypes="0" containsString="0" containsNumber="1" containsInteger="1" minValue="800" maxValue="2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3001"/>
    <d v="2024-03-01T00:00:00"/>
    <s v="Monisha"/>
    <x v="0"/>
    <x v="0"/>
    <x v="0"/>
    <n v="2"/>
    <n v="1500"/>
    <n v="10"/>
    <x v="0"/>
    <n v="2700"/>
  </r>
  <r>
    <n v="3002"/>
    <d v="2024-03-01T00:00:00"/>
    <s v="Ravi"/>
    <x v="1"/>
    <x v="1"/>
    <x v="1"/>
    <n v="3"/>
    <n v="500"/>
    <n v="5"/>
    <x v="1"/>
    <n v="1425"/>
  </r>
  <r>
    <n v="3003"/>
    <d v="2024-03-02T00:00:00"/>
    <s v="Sita"/>
    <x v="0"/>
    <x v="2"/>
    <x v="2"/>
    <n v="1"/>
    <n v="800"/>
    <n v="0"/>
    <x v="2"/>
    <n v="800"/>
  </r>
  <r>
    <n v="3004"/>
    <d v="2024-03-02T00:00:00"/>
    <s v="Arjun"/>
    <x v="2"/>
    <x v="3"/>
    <x v="0"/>
    <n v="1"/>
    <n v="3000"/>
    <n v="15"/>
    <x v="0"/>
    <n v="2550"/>
  </r>
  <r>
    <n v="3005"/>
    <d v="2024-03-03T00:00:00"/>
    <s v="Kavya"/>
    <x v="1"/>
    <x v="4"/>
    <x v="2"/>
    <n v="2"/>
    <n v="2000"/>
    <n v="10"/>
    <x v="2"/>
    <n v="3600"/>
  </r>
  <r>
    <n v="3006"/>
    <d v="2024-03-04T00:00:00"/>
    <s v="Rahul"/>
    <x v="0"/>
    <x v="5"/>
    <x v="1"/>
    <n v="1"/>
    <n v="55000"/>
    <n v="50"/>
    <x v="0"/>
    <n v="27500"/>
  </r>
  <r>
    <n v="3007"/>
    <d v="2024-03-05T00:00:00"/>
    <s v="Priya"/>
    <x v="2"/>
    <x v="6"/>
    <x v="0"/>
    <n v="1"/>
    <n v="25000"/>
    <n v="5"/>
    <x v="1"/>
    <n v="23750"/>
  </r>
  <r>
    <n v="3008"/>
    <d v="2024-03-06T00:00:00"/>
    <s v="Kiran"/>
    <x v="0"/>
    <x v="7"/>
    <x v="2"/>
    <n v="2"/>
    <n v="1200"/>
    <n v="0"/>
    <x v="0"/>
    <n v="2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38465-48FE-49F3-AA8C-B88D2248149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6:B25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9">
        <item x="0"/>
        <item x="4"/>
        <item x="7"/>
        <item x="5"/>
        <item x="3"/>
        <item x="2"/>
        <item x="6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inal_Price " fld="10" baseField="0" baseItem="0"/>
  </dataFields>
  <chartFormats count="9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EB0CA-0ACA-475B-A72F-289FD9F47F8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14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Price " fld="1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30C34-633C-42C7-ADA9-3077F298E78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Price " fld="10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025A1-FBD6-4652-AC75-850AF004D99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7:B31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Price " fld="10" baseField="0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58C68-3726-4B6F-AE7A-EF6937F44BCF}" name="Table1" displayName="Table1" ref="E3:F8" totalsRowShown="0">
  <autoFilter ref="E3:F8" xr:uid="{13458C68-3726-4B6F-AE7A-EF6937F44BCF}">
    <filterColumn colId="0" hiddenButton="1"/>
    <filterColumn colId="1" hiddenButton="1"/>
  </autoFilter>
  <tableColumns count="2">
    <tableColumn id="1" xr3:uid="{6359AB73-978B-43A6-8F98-866EC1D5E94C}" name="KPI" dataDxfId="1"/>
    <tableColumn id="2" xr3:uid="{69BB47C5-6D48-4110-9073-8AECDB87741B}" name="VALU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A746-2D87-4CF6-A71C-C24B643D3D5A}">
  <dimension ref="A1:I31"/>
  <sheetViews>
    <sheetView showGridLines="0" showRowColHeaders="0" tabSelected="1" workbookViewId="0">
      <selection activeCell="R2" sqref="R2"/>
    </sheetView>
  </sheetViews>
  <sheetFormatPr defaultRowHeight="15" x14ac:dyDescent="0.25"/>
  <cols>
    <col min="1" max="1" width="13.140625" bestFit="1" customWidth="1"/>
    <col min="2" max="2" width="18" bestFit="1" customWidth="1"/>
    <col min="3" max="3" width="6" bestFit="1" customWidth="1"/>
    <col min="4" max="5" width="20.28515625" bestFit="1" customWidth="1"/>
    <col min="6" max="7" width="10.5703125" bestFit="1" customWidth="1"/>
  </cols>
  <sheetData>
    <row r="1" spans="1:9" ht="33.75" x14ac:dyDescent="0.5">
      <c r="C1" s="11" t="s">
        <v>37</v>
      </c>
      <c r="D1" s="9"/>
      <c r="E1" s="8"/>
      <c r="F1" s="9"/>
      <c r="G1" s="9"/>
      <c r="H1" s="9"/>
      <c r="I1" s="9"/>
    </row>
    <row r="3" spans="1:9" x14ac:dyDescent="0.25">
      <c r="A3" s="6" t="s">
        <v>35</v>
      </c>
      <c r="B3" t="s">
        <v>46</v>
      </c>
      <c r="E3" t="s">
        <v>38</v>
      </c>
      <c r="F3" t="s">
        <v>39</v>
      </c>
    </row>
    <row r="4" spans="1:9" x14ac:dyDescent="0.25">
      <c r="A4" s="7" t="s">
        <v>16</v>
      </c>
      <c r="B4">
        <v>5025</v>
      </c>
      <c r="E4" s="7" t="s">
        <v>40</v>
      </c>
      <c r="F4" s="12" t="s">
        <v>11</v>
      </c>
    </row>
    <row r="5" spans="1:9" x14ac:dyDescent="0.25">
      <c r="A5" s="7" t="s">
        <v>11</v>
      </c>
      <c r="B5">
        <v>33400</v>
      </c>
      <c r="E5" s="7" t="s">
        <v>44</v>
      </c>
      <c r="F5" s="12" t="s">
        <v>14</v>
      </c>
    </row>
    <row r="6" spans="1:9" x14ac:dyDescent="0.25">
      <c r="A6" s="7" t="s">
        <v>25</v>
      </c>
      <c r="B6">
        <v>26300</v>
      </c>
      <c r="E6" s="7" t="s">
        <v>41</v>
      </c>
      <c r="F6" s="12" t="s">
        <v>30</v>
      </c>
    </row>
    <row r="7" spans="1:9" x14ac:dyDescent="0.25">
      <c r="A7" s="7" t="s">
        <v>36</v>
      </c>
      <c r="B7">
        <v>64725</v>
      </c>
      <c r="E7" s="7" t="s">
        <v>42</v>
      </c>
      <c r="F7" s="12" t="s">
        <v>13</v>
      </c>
    </row>
    <row r="8" spans="1:9" x14ac:dyDescent="0.25">
      <c r="E8" s="7" t="s">
        <v>43</v>
      </c>
      <c r="F8" s="12">
        <v>64725</v>
      </c>
    </row>
    <row r="9" spans="1:9" x14ac:dyDescent="0.25">
      <c r="D9" s="10"/>
    </row>
    <row r="10" spans="1:9" x14ac:dyDescent="0.25">
      <c r="A10" s="6" t="s">
        <v>35</v>
      </c>
      <c r="B10" t="s">
        <v>46</v>
      </c>
      <c r="D10" s="10"/>
    </row>
    <row r="11" spans="1:9" x14ac:dyDescent="0.25">
      <c r="A11" s="7" t="s">
        <v>13</v>
      </c>
      <c r="B11">
        <v>29000</v>
      </c>
    </row>
    <row r="12" spans="1:9" x14ac:dyDescent="0.25">
      <c r="A12" s="7" t="s">
        <v>22</v>
      </c>
      <c r="B12">
        <v>6800</v>
      </c>
    </row>
    <row r="13" spans="1:9" x14ac:dyDescent="0.25">
      <c r="A13" s="7" t="s">
        <v>18</v>
      </c>
      <c r="B13">
        <v>28925</v>
      </c>
    </row>
    <row r="14" spans="1:9" x14ac:dyDescent="0.25">
      <c r="A14" s="7" t="s">
        <v>36</v>
      </c>
      <c r="B14">
        <v>64725</v>
      </c>
    </row>
    <row r="16" spans="1:9" x14ac:dyDescent="0.25">
      <c r="A16" s="6" t="s">
        <v>35</v>
      </c>
      <c r="B16" t="s">
        <v>46</v>
      </c>
    </row>
    <row r="17" spans="1:2" x14ac:dyDescent="0.25">
      <c r="A17" s="7" t="s">
        <v>12</v>
      </c>
      <c r="B17">
        <v>2700</v>
      </c>
    </row>
    <row r="18" spans="1:2" x14ac:dyDescent="0.25">
      <c r="A18" s="7" t="s">
        <v>28</v>
      </c>
      <c r="B18">
        <v>3600</v>
      </c>
    </row>
    <row r="19" spans="1:2" x14ac:dyDescent="0.25">
      <c r="A19" s="7" t="s">
        <v>34</v>
      </c>
      <c r="B19">
        <v>2400</v>
      </c>
    </row>
    <row r="20" spans="1:2" x14ac:dyDescent="0.25">
      <c r="A20" s="7" t="s">
        <v>30</v>
      </c>
      <c r="B20">
        <v>27500</v>
      </c>
    </row>
    <row r="21" spans="1:2" x14ac:dyDescent="0.25">
      <c r="A21" s="7" t="s">
        <v>26</v>
      </c>
      <c r="B21">
        <v>2550</v>
      </c>
    </row>
    <row r="22" spans="1:2" x14ac:dyDescent="0.25">
      <c r="A22" s="7" t="s">
        <v>21</v>
      </c>
      <c r="B22">
        <v>800</v>
      </c>
    </row>
    <row r="23" spans="1:2" x14ac:dyDescent="0.25">
      <c r="A23" s="7" t="s">
        <v>32</v>
      </c>
      <c r="B23">
        <v>23750</v>
      </c>
    </row>
    <row r="24" spans="1:2" x14ac:dyDescent="0.25">
      <c r="A24" s="7" t="s">
        <v>17</v>
      </c>
      <c r="B24">
        <v>1425</v>
      </c>
    </row>
    <row r="25" spans="1:2" x14ac:dyDescent="0.25">
      <c r="A25" s="7" t="s">
        <v>36</v>
      </c>
      <c r="B25">
        <v>64725</v>
      </c>
    </row>
    <row r="27" spans="1:2" x14ac:dyDescent="0.25">
      <c r="A27" s="6" t="s">
        <v>35</v>
      </c>
      <c r="B27" t="s">
        <v>46</v>
      </c>
    </row>
    <row r="28" spans="1:2" x14ac:dyDescent="0.25">
      <c r="A28" s="7" t="s">
        <v>23</v>
      </c>
      <c r="B28">
        <v>4400</v>
      </c>
    </row>
    <row r="29" spans="1:2" x14ac:dyDescent="0.25">
      <c r="A29" s="7" t="s">
        <v>19</v>
      </c>
      <c r="B29">
        <v>25175</v>
      </c>
    </row>
    <row r="30" spans="1:2" x14ac:dyDescent="0.25">
      <c r="A30" s="7" t="s">
        <v>14</v>
      </c>
      <c r="B30">
        <v>35150</v>
      </c>
    </row>
    <row r="31" spans="1:2" x14ac:dyDescent="0.25">
      <c r="A31" s="7" t="s">
        <v>36</v>
      </c>
      <c r="B31">
        <v>64725</v>
      </c>
    </row>
  </sheetData>
  <sheetProtection sheet="1" objects="1" scenarios="1" formatCells="0" formatColumns="0"/>
  <phoneticPr fontId="4" type="noConversion"/>
  <pageMargins left="0.7" right="0.7" top="0.75" bottom="0.75" header="0.3" footer="0.3"/>
  <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112D-E103-4E58-BE0C-E90E97CFD28E}">
  <dimension ref="A1:K9"/>
  <sheetViews>
    <sheetView workbookViewId="0">
      <selection activeCell="K2" sqref="K2"/>
    </sheetView>
  </sheetViews>
  <sheetFormatPr defaultRowHeight="15" x14ac:dyDescent="0.25"/>
  <cols>
    <col min="1" max="1" width="9" bestFit="1" customWidth="1"/>
    <col min="2" max="2" width="11.28515625" style="1" bestFit="1" customWidth="1"/>
    <col min="3" max="3" width="16" bestFit="1" customWidth="1"/>
    <col min="4" max="4" width="10.5703125" bestFit="1" customWidth="1"/>
    <col min="5" max="5" width="12.140625" bestFit="1" customWidth="1"/>
    <col min="6" max="6" width="8.28515625" bestFit="1" customWidth="1"/>
    <col min="7" max="7" width="8.7109375" bestFit="1" customWidth="1"/>
    <col min="8" max="8" width="6" bestFit="1" customWidth="1"/>
    <col min="9" max="9" width="12.140625" bestFit="1" customWidth="1"/>
    <col min="10" max="10" width="17.28515625" bestFit="1" customWidth="1"/>
    <col min="11" max="11" width="20.42578125" bestFit="1" customWidth="1"/>
  </cols>
  <sheetData>
    <row r="1" spans="1:1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45</v>
      </c>
    </row>
    <row r="2" spans="1:11" x14ac:dyDescent="0.25">
      <c r="A2" s="3">
        <v>3001</v>
      </c>
      <c r="B2" s="4">
        <v>45352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2</v>
      </c>
      <c r="H2" s="3">
        <v>1500</v>
      </c>
      <c r="I2" s="3">
        <v>10</v>
      </c>
      <c r="J2" s="3" t="s">
        <v>14</v>
      </c>
      <c r="K2">
        <f>H2*G2*(1-I2/100)</f>
        <v>2700</v>
      </c>
    </row>
    <row r="3" spans="1:11" x14ac:dyDescent="0.25">
      <c r="A3" s="3">
        <v>3002</v>
      </c>
      <c r="B3" s="4">
        <v>45352</v>
      </c>
      <c r="C3" s="3" t="s">
        <v>15</v>
      </c>
      <c r="D3" s="3" t="s">
        <v>16</v>
      </c>
      <c r="E3" s="3" t="s">
        <v>17</v>
      </c>
      <c r="F3" s="3" t="s">
        <v>18</v>
      </c>
      <c r="G3" s="3">
        <v>3</v>
      </c>
      <c r="H3" s="3">
        <v>500</v>
      </c>
      <c r="I3" s="3">
        <v>5</v>
      </c>
      <c r="J3" s="3" t="s">
        <v>19</v>
      </c>
      <c r="K3">
        <f t="shared" ref="K3:K9" si="0">H3*G3*(1-I3/100)</f>
        <v>1425</v>
      </c>
    </row>
    <row r="4" spans="1:11" x14ac:dyDescent="0.25">
      <c r="A4" s="3">
        <v>3003</v>
      </c>
      <c r="B4" s="4">
        <v>45353</v>
      </c>
      <c r="C4" s="3" t="s">
        <v>20</v>
      </c>
      <c r="D4" s="3" t="s">
        <v>11</v>
      </c>
      <c r="E4" s="3" t="s">
        <v>21</v>
      </c>
      <c r="F4" s="3" t="s">
        <v>22</v>
      </c>
      <c r="G4" s="3">
        <v>1</v>
      </c>
      <c r="H4" s="3">
        <v>800</v>
      </c>
      <c r="I4" s="3">
        <v>0</v>
      </c>
      <c r="J4" s="3" t="s">
        <v>23</v>
      </c>
      <c r="K4">
        <f t="shared" si="0"/>
        <v>800</v>
      </c>
    </row>
    <row r="5" spans="1:11" x14ac:dyDescent="0.25">
      <c r="A5" s="3">
        <v>3004</v>
      </c>
      <c r="B5" s="4">
        <v>45353</v>
      </c>
      <c r="C5" s="3" t="s">
        <v>24</v>
      </c>
      <c r="D5" s="3" t="s">
        <v>25</v>
      </c>
      <c r="E5" s="3" t="s">
        <v>26</v>
      </c>
      <c r="F5" s="3" t="s">
        <v>13</v>
      </c>
      <c r="G5" s="3">
        <v>1</v>
      </c>
      <c r="H5" s="3">
        <v>3000</v>
      </c>
      <c r="I5" s="3">
        <v>15</v>
      </c>
      <c r="J5" s="3" t="s">
        <v>14</v>
      </c>
      <c r="K5">
        <f t="shared" si="0"/>
        <v>2550</v>
      </c>
    </row>
    <row r="6" spans="1:11" x14ac:dyDescent="0.25">
      <c r="A6" s="3">
        <v>3005</v>
      </c>
      <c r="B6" s="4">
        <v>45354</v>
      </c>
      <c r="C6" s="3" t="s">
        <v>27</v>
      </c>
      <c r="D6" s="3" t="s">
        <v>16</v>
      </c>
      <c r="E6" s="3" t="s">
        <v>28</v>
      </c>
      <c r="F6" s="3" t="s">
        <v>22</v>
      </c>
      <c r="G6" s="3">
        <v>2</v>
      </c>
      <c r="H6" s="3">
        <v>2000</v>
      </c>
      <c r="I6" s="3">
        <v>10</v>
      </c>
      <c r="J6" s="3" t="s">
        <v>23</v>
      </c>
      <c r="K6">
        <f t="shared" si="0"/>
        <v>3600</v>
      </c>
    </row>
    <row r="7" spans="1:11" x14ac:dyDescent="0.25">
      <c r="A7" s="3">
        <v>3006</v>
      </c>
      <c r="B7" s="4">
        <v>45355</v>
      </c>
      <c r="C7" s="3" t="s">
        <v>29</v>
      </c>
      <c r="D7" s="3" t="s">
        <v>11</v>
      </c>
      <c r="E7" s="3" t="s">
        <v>30</v>
      </c>
      <c r="F7" s="3" t="s">
        <v>18</v>
      </c>
      <c r="G7" s="3">
        <v>1</v>
      </c>
      <c r="H7" s="3">
        <v>55000</v>
      </c>
      <c r="I7" s="3">
        <v>50</v>
      </c>
      <c r="J7" s="3" t="s">
        <v>14</v>
      </c>
      <c r="K7">
        <f t="shared" si="0"/>
        <v>27500</v>
      </c>
    </row>
    <row r="8" spans="1:11" x14ac:dyDescent="0.25">
      <c r="A8" s="3">
        <v>3007</v>
      </c>
      <c r="B8" s="4">
        <v>45356</v>
      </c>
      <c r="C8" s="3" t="s">
        <v>31</v>
      </c>
      <c r="D8" s="3" t="s">
        <v>25</v>
      </c>
      <c r="E8" s="3" t="s">
        <v>32</v>
      </c>
      <c r="F8" s="3" t="s">
        <v>13</v>
      </c>
      <c r="G8" s="3">
        <v>1</v>
      </c>
      <c r="H8" s="3">
        <v>25000</v>
      </c>
      <c r="I8" s="3">
        <v>5</v>
      </c>
      <c r="J8" s="3" t="s">
        <v>19</v>
      </c>
      <c r="K8">
        <f t="shared" si="0"/>
        <v>23750</v>
      </c>
    </row>
    <row r="9" spans="1:11" x14ac:dyDescent="0.25">
      <c r="A9" s="3">
        <v>3008</v>
      </c>
      <c r="B9" s="4">
        <v>45357</v>
      </c>
      <c r="C9" s="3" t="s">
        <v>33</v>
      </c>
      <c r="D9" s="3" t="s">
        <v>11</v>
      </c>
      <c r="E9" s="3" t="s">
        <v>34</v>
      </c>
      <c r="F9" s="3" t="s">
        <v>22</v>
      </c>
      <c r="G9" s="3">
        <v>2</v>
      </c>
      <c r="H9" s="3">
        <v>1200</v>
      </c>
      <c r="I9" s="3">
        <v>0</v>
      </c>
      <c r="J9" s="3" t="s">
        <v>14</v>
      </c>
      <c r="K9">
        <f t="shared" si="0"/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</dc:creator>
  <cp:lastModifiedBy>ELCOT</cp:lastModifiedBy>
  <dcterms:created xsi:type="dcterms:W3CDTF">2026-04-05T18:18:39Z</dcterms:created>
  <dcterms:modified xsi:type="dcterms:W3CDTF">2026-04-06T20:49:46Z</dcterms:modified>
</cp:coreProperties>
</file>